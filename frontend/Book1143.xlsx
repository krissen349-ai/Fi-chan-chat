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c\Desktop\chat-app\frontend\"/>
    </mc:Choice>
  </mc:AlternateContent>
  <xr:revisionPtr revIDLastSave="0" documentId="10_ncr:8100000_{376D885E-9407-48B9-9397-12A818F68B06}" xr6:coauthVersionLast="34" xr6:coauthVersionMax="34" xr10:uidLastSave="{00000000-0000-0000-0000-000000000000}"/>
  <bookViews>
    <workbookView xWindow="0" yWindow="0" windowWidth="19200" windowHeight="7250" xr2:uid="{4EAE709C-A829-4224-857F-6EF70A1A5C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H10" i="1"/>
  <c r="R22" i="1"/>
  <c r="Q21" i="1"/>
  <c r="Q20" i="1"/>
  <c r="Q19" i="1"/>
  <c r="Q18" i="1"/>
  <c r="Q17" i="1"/>
  <c r="Q16" i="1"/>
  <c r="Q15" i="1"/>
  <c r="Q14" i="1"/>
  <c r="Q13" i="1"/>
  <c r="Q12" i="1"/>
  <c r="Q11" i="1"/>
  <c r="Q10" i="1"/>
  <c r="Q22" i="1" l="1"/>
  <c r="P21" i="1"/>
  <c r="P20" i="1"/>
  <c r="P19" i="1"/>
  <c r="P18" i="1"/>
  <c r="P17" i="1"/>
  <c r="P16" i="1"/>
  <c r="P15" i="1"/>
  <c r="P14" i="1"/>
  <c r="P13" i="1"/>
  <c r="P12" i="1"/>
  <c r="P11" i="1"/>
  <c r="P10" i="1"/>
  <c r="O10" i="1" l="1"/>
  <c r="O21" i="1"/>
  <c r="O20" i="1"/>
  <c r="O19" i="1"/>
  <c r="O18" i="1"/>
  <c r="O17" i="1"/>
  <c r="O16" i="1"/>
  <c r="O15" i="1"/>
  <c r="O14" i="1"/>
  <c r="O13" i="1"/>
  <c r="O12" i="1"/>
  <c r="O11" i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I10" i="1"/>
  <c r="J10" i="1" s="1"/>
  <c r="J22" i="1" l="1"/>
  <c r="K22" i="1" s="1"/>
  <c r="N17" i="1"/>
  <c r="N18" i="1"/>
  <c r="N19" i="1"/>
  <c r="N20" i="1"/>
  <c r="N21" i="1"/>
  <c r="N16" i="1"/>
  <c r="N11" i="1"/>
  <c r="N12" i="1"/>
  <c r="N13" i="1"/>
  <c r="N14" i="1"/>
  <c r="N15" i="1"/>
  <c r="N10" i="1"/>
</calcChain>
</file>

<file path=xl/sharedStrings.xml><?xml version="1.0" encoding="utf-8"?>
<sst xmlns="http://schemas.openxmlformats.org/spreadsheetml/2006/main" count="4" uniqueCount="3">
  <si>
    <t>GPA</t>
  </si>
  <si>
    <t>ROLL NO 5</t>
  </si>
  <si>
    <t>ROLL 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</si>
</sst>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2" fontId="1" fillId="0" borderId="6" xfId="0" applyNumberFormat="1" applyFont="1" applyBorder="1"/>
    <xf numFmtId="0" fontId="1" fillId="0" borderId="6" xfId="0" applyFont="1" applyBorder="1"/>
    <xf numFmtId="170" fontId="1" fillId="0" borderId="6" xfId="0" applyNumberFormat="1" applyFont="1" applyBorder="1"/>
    <xf numFmtId="0" fontId="1" fillId="0" borderId="0" xfId="0" applyFont="1"/>
    <xf numFmtId="2" fontId="1" fillId="0" borderId="6" xfId="0" applyNumberFormat="1" applyFont="1" applyFill="1" applyBorder="1"/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AD15-6356-4920-BCD1-CF2D51F1A61B}">
  <dimension ref="D1:R22"/>
  <sheetViews>
    <sheetView tabSelected="1" topLeftCell="A7" workbookViewId="0">
      <selection activeCell="L26" sqref="L26"/>
    </sheetView>
  </sheetViews>
  <sheetFormatPr defaultRowHeight="14.5" x14ac:dyDescent="0.35"/>
  <cols>
    <col min="7" max="7" width="4.36328125" bestFit="1" customWidth="1"/>
    <col min="8" max="9" width="3.54296875" bestFit="1" customWidth="1"/>
    <col min="10" max="10" width="5.36328125" bestFit="1" customWidth="1"/>
    <col min="11" max="11" width="4.36328125" bestFit="1" customWidth="1"/>
    <col min="13" max="13" width="3.54296875" bestFit="1" customWidth="1"/>
    <col min="14" max="14" width="4.36328125" bestFit="1" customWidth="1"/>
    <col min="15" max="15" width="3.54296875" bestFit="1" customWidth="1"/>
    <col min="16" max="16" width="3.36328125" bestFit="1" customWidth="1"/>
    <col min="17" max="17" width="5.36328125" bestFit="1" customWidth="1"/>
    <col min="18" max="18" width="4.36328125" bestFit="1" customWidth="1"/>
  </cols>
  <sheetData>
    <row r="1" spans="4:18" ht="15" thickBot="1" x14ac:dyDescent="0.4"/>
    <row r="2" spans="4:18" ht="19" thickTop="1" thickBot="1" x14ac:dyDescent="0.45">
      <c r="D2" s="1">
        <v>52</v>
      </c>
      <c r="E2" s="2">
        <v>31</v>
      </c>
      <c r="F2" s="2">
        <v>37</v>
      </c>
      <c r="G2" s="2">
        <v>44</v>
      </c>
      <c r="H2" s="2">
        <v>36</v>
      </c>
      <c r="I2" s="2">
        <v>33</v>
      </c>
      <c r="J2" s="3">
        <v>24</v>
      </c>
      <c r="K2" s="4">
        <v>24</v>
      </c>
      <c r="L2" s="4">
        <v>24</v>
      </c>
      <c r="M2" s="4">
        <v>24</v>
      </c>
      <c r="N2" s="4">
        <v>24</v>
      </c>
      <c r="O2" s="5">
        <v>24</v>
      </c>
    </row>
    <row r="3" spans="4:18" ht="19" thickTop="1" thickBot="1" x14ac:dyDescent="0.45">
      <c r="D3" s="1">
        <v>38</v>
      </c>
      <c r="E3" s="2">
        <v>28</v>
      </c>
      <c r="F3" s="2">
        <v>38</v>
      </c>
      <c r="G3" s="2">
        <v>40</v>
      </c>
      <c r="H3" s="2">
        <v>33</v>
      </c>
      <c r="I3" s="2">
        <v>39</v>
      </c>
      <c r="J3" s="3">
        <v>23</v>
      </c>
      <c r="K3" s="4">
        <v>23</v>
      </c>
      <c r="L3" s="4">
        <v>23</v>
      </c>
      <c r="M3" s="4">
        <v>23</v>
      </c>
      <c r="N3" s="4">
        <v>23</v>
      </c>
      <c r="O3" s="5">
        <v>23</v>
      </c>
    </row>
    <row r="4" spans="4:18" ht="15" thickTop="1" x14ac:dyDescent="0.35"/>
    <row r="9" spans="4:18" x14ac:dyDescent="0.35">
      <c r="F9" s="10" t="s">
        <v>1</v>
      </c>
      <c r="M9" s="10" t="s">
        <v>2</v>
      </c>
    </row>
    <row r="10" spans="4:18" ht="17.5" x14ac:dyDescent="0.35">
      <c r="F10" s="6">
        <v>52</v>
      </c>
      <c r="G10" s="7">
        <f>SUM(F10/75)</f>
        <v>0.69333333333333336</v>
      </c>
      <c r="H10" s="8" t="str">
        <f>IF(G10&gt;=0.9,"A+",IF(G10&gt;=0.8,"A",IF(G10&gt;=0.7,"B+",IF(G10&gt;=0.6,"B",IF(G10&gt;=0.5,"C+",IF(G10&gt;=0.4,"C",IF(G10&gt;=0.35,"D","NG")))))))</f>
        <v>B</v>
      </c>
      <c r="I10" s="9">
        <f>IF(H10="A+",4,IF(H10="A",3.6,IF(H10="B+",3.2,IF(H10="B",2.8,IF(H10="C+",2.4,IF(H10="C",2,IF(H10="D",1.6,0)))))))</f>
        <v>2.8</v>
      </c>
      <c r="J10" s="8">
        <f>SUM(I10*2.25)</f>
        <v>6.3</v>
      </c>
      <c r="K10" s="8" t="s">
        <v>0</v>
      </c>
      <c r="L10" s="10"/>
      <c r="M10" s="6">
        <v>38</v>
      </c>
      <c r="N10" s="7">
        <f>SUM(M10/75)</f>
        <v>0.50666666666666671</v>
      </c>
      <c r="O10" s="8" t="str">
        <f>IF(N10&gt;=0.9,"A+",IF(N10&gt;=0.8,"A",IF(N10&gt;=0.7,"B+",IF(N10&gt;=0.6,"B",IF(N10&gt;=0.5,"C+",IF(N10&gt;=0.4,"C",IF(N10&gt;=0.35,"D","NG")))))))</f>
        <v>C+</v>
      </c>
      <c r="P10" s="9">
        <f>IF(O10="A+",4,IF(O10="A",3.6,IF(O10="B+",3.2,IF(O10="B",2.8,IF(O10="C+",2.4,IF(O10="C",2,IF(O10="D",1.6,0)))))))</f>
        <v>2.4</v>
      </c>
      <c r="Q10" s="8">
        <f>SUM(P10*2.25)</f>
        <v>5.3999999999999995</v>
      </c>
      <c r="R10" s="8" t="s">
        <v>0</v>
      </c>
    </row>
    <row r="11" spans="4:18" ht="17.5" x14ac:dyDescent="0.35">
      <c r="F11" s="6">
        <v>31</v>
      </c>
      <c r="G11" s="7">
        <f t="shared" ref="G11:G15" si="0">SUM(F11/75)</f>
        <v>0.41333333333333333</v>
      </c>
      <c r="H11" s="8" t="str">
        <f t="shared" ref="H11:H21" si="1">IF(G11&gt;=0.9,"A+",IF(G11&gt;=0.8,"A",IF(G11&gt;=0.7,"B+",IF(G11&gt;=0.6,"B",IF(G11&gt;=0.5,"C+",IF(G11&gt;=0.4,"C",IF(G11&gt;=0.35,"D","NG")))))))</f>
        <v>C</v>
      </c>
      <c r="I11" s="9">
        <f t="shared" ref="I11:I21" si="2">IF(H11="A+",4,IF(H11="A",3.6,IF(H11="B+",3.2,IF(H11="B",2.8,IF(H11="C+",2.4,IF(H11="C",2,IF(H11="D",1.6,0)))))))</f>
        <v>2</v>
      </c>
      <c r="J11" s="8">
        <f>SUM(I11*3)</f>
        <v>6</v>
      </c>
      <c r="K11" s="8"/>
      <c r="L11" s="10"/>
      <c r="M11" s="6">
        <v>28</v>
      </c>
      <c r="N11" s="7">
        <f t="shared" ref="N11:N21" si="3">SUM(M11/75)</f>
        <v>0.37333333333333335</v>
      </c>
      <c r="O11" s="8" t="str">
        <f t="shared" ref="O11:O21" si="4">IF(N11&gt;=0.9,"A+",IF(N11&gt;=0.8,"A",IF(N11&gt;=0.7,"B+",IF(N11&gt;=0.6,"B",IF(N11&gt;=0.5,"C+",IF(N11&gt;=0.4,"C",IF(N11&gt;=0.35,"D","NG")))))))</f>
        <v>D</v>
      </c>
      <c r="P11" s="9">
        <f t="shared" ref="P11:P21" si="5">IF(O11="A+",4,IF(O11="A",3.6,IF(O11="B+",3.2,IF(O11="B",2.8,IF(O11="C+",2.4,IF(O11="C",2,IF(O11="D",1.6,0)))))))</f>
        <v>1.6</v>
      </c>
      <c r="Q11" s="8">
        <f>SUM(P11*3)</f>
        <v>4.8000000000000007</v>
      </c>
      <c r="R11" s="8"/>
    </row>
    <row r="12" spans="4:18" ht="17.5" x14ac:dyDescent="0.35">
      <c r="F12" s="6">
        <v>37</v>
      </c>
      <c r="G12" s="7">
        <f t="shared" si="0"/>
        <v>0.49333333333333335</v>
      </c>
      <c r="H12" s="8" t="str">
        <f t="shared" si="1"/>
        <v>C</v>
      </c>
      <c r="I12" s="9">
        <f t="shared" si="2"/>
        <v>2</v>
      </c>
      <c r="J12" s="8">
        <f>SUM(I12*3.75)</f>
        <v>7.5</v>
      </c>
      <c r="K12" s="8"/>
      <c r="L12" s="10"/>
      <c r="M12" s="6">
        <v>38</v>
      </c>
      <c r="N12" s="7">
        <f t="shared" si="3"/>
        <v>0.50666666666666671</v>
      </c>
      <c r="O12" s="8" t="str">
        <f t="shared" si="4"/>
        <v>C+</v>
      </c>
      <c r="P12" s="9">
        <f t="shared" si="5"/>
        <v>2.4</v>
      </c>
      <c r="Q12" s="8">
        <f>SUM(P12*3.75)</f>
        <v>9</v>
      </c>
      <c r="R12" s="8"/>
    </row>
    <row r="13" spans="4:18" ht="17.5" x14ac:dyDescent="0.35">
      <c r="F13" s="6">
        <v>44</v>
      </c>
      <c r="G13" s="7">
        <f t="shared" si="0"/>
        <v>0.58666666666666667</v>
      </c>
      <c r="H13" s="8" t="str">
        <f t="shared" si="1"/>
        <v>C+</v>
      </c>
      <c r="I13" s="9">
        <f t="shared" si="2"/>
        <v>2.4</v>
      </c>
      <c r="J13" s="8">
        <f t="shared" ref="J13:J21" si="6">SUM(I13*3.75)</f>
        <v>9</v>
      </c>
      <c r="K13" s="8"/>
      <c r="L13" s="10"/>
      <c r="M13" s="6">
        <v>40</v>
      </c>
      <c r="N13" s="7">
        <f t="shared" si="3"/>
        <v>0.53333333333333333</v>
      </c>
      <c r="O13" s="8" t="str">
        <f t="shared" si="4"/>
        <v>C+</v>
      </c>
      <c r="P13" s="9">
        <f t="shared" si="5"/>
        <v>2.4</v>
      </c>
      <c r="Q13" s="8">
        <f t="shared" ref="Q13:Q15" si="7">SUM(P13*3.75)</f>
        <v>9</v>
      </c>
      <c r="R13" s="8"/>
    </row>
    <row r="14" spans="4:18" ht="17.5" x14ac:dyDescent="0.35">
      <c r="F14" s="6">
        <v>36</v>
      </c>
      <c r="G14" s="7">
        <f t="shared" si="0"/>
        <v>0.48</v>
      </c>
      <c r="H14" s="8" t="str">
        <f t="shared" si="1"/>
        <v>C</v>
      </c>
      <c r="I14" s="9">
        <f t="shared" si="2"/>
        <v>2</v>
      </c>
      <c r="J14" s="8">
        <f t="shared" si="6"/>
        <v>7.5</v>
      </c>
      <c r="K14" s="8"/>
      <c r="L14" s="10"/>
      <c r="M14" s="6">
        <v>33</v>
      </c>
      <c r="N14" s="7">
        <f t="shared" si="3"/>
        <v>0.44</v>
      </c>
      <c r="O14" s="8" t="str">
        <f t="shared" si="4"/>
        <v>C</v>
      </c>
      <c r="P14" s="9">
        <f t="shared" si="5"/>
        <v>2</v>
      </c>
      <c r="Q14" s="8">
        <f t="shared" si="7"/>
        <v>7.5</v>
      </c>
      <c r="R14" s="8"/>
    </row>
    <row r="15" spans="4:18" ht="17.5" x14ac:dyDescent="0.35">
      <c r="F15" s="6">
        <v>33</v>
      </c>
      <c r="G15" s="7">
        <f t="shared" si="0"/>
        <v>0.44</v>
      </c>
      <c r="H15" s="8" t="str">
        <f t="shared" si="1"/>
        <v>C</v>
      </c>
      <c r="I15" s="9">
        <f t="shared" si="2"/>
        <v>2</v>
      </c>
      <c r="J15" s="8">
        <f t="shared" si="6"/>
        <v>7.5</v>
      </c>
      <c r="K15" s="8"/>
      <c r="L15" s="10"/>
      <c r="M15" s="6">
        <v>39</v>
      </c>
      <c r="N15" s="7">
        <f t="shared" si="3"/>
        <v>0.52</v>
      </c>
      <c r="O15" s="8" t="str">
        <f t="shared" si="4"/>
        <v>C+</v>
      </c>
      <c r="P15" s="9">
        <f t="shared" si="5"/>
        <v>2.4</v>
      </c>
      <c r="Q15" s="8">
        <f t="shared" si="7"/>
        <v>9</v>
      </c>
      <c r="R15" s="8"/>
    </row>
    <row r="16" spans="4:18" ht="17.5" x14ac:dyDescent="0.35">
      <c r="F16" s="6">
        <v>24</v>
      </c>
      <c r="G16" s="7">
        <f>SUM(F16/25)</f>
        <v>0.96</v>
      </c>
      <c r="H16" s="8" t="str">
        <f t="shared" si="1"/>
        <v>A+</v>
      </c>
      <c r="I16" s="9">
        <f t="shared" si="2"/>
        <v>4</v>
      </c>
      <c r="J16" s="8">
        <f>SUM(I16*0.75)</f>
        <v>3</v>
      </c>
      <c r="K16" s="8"/>
      <c r="L16" s="10"/>
      <c r="M16" s="6">
        <v>23</v>
      </c>
      <c r="N16" s="7">
        <f>SUM(M16/25)</f>
        <v>0.92</v>
      </c>
      <c r="O16" s="8" t="str">
        <f t="shared" si="4"/>
        <v>A+</v>
      </c>
      <c r="P16" s="9">
        <f t="shared" si="5"/>
        <v>4</v>
      </c>
      <c r="Q16" s="8">
        <f>SUM(P16*0.75)</f>
        <v>3</v>
      </c>
      <c r="R16" s="8"/>
    </row>
    <row r="17" spans="6:18" ht="17.5" x14ac:dyDescent="0.35">
      <c r="F17" s="6">
        <v>24</v>
      </c>
      <c r="G17" s="7">
        <f t="shared" ref="G17:G21" si="8">SUM(F17/25)</f>
        <v>0.96</v>
      </c>
      <c r="H17" s="8" t="str">
        <f t="shared" si="1"/>
        <v>A+</v>
      </c>
      <c r="I17" s="9">
        <f t="shared" si="2"/>
        <v>4</v>
      </c>
      <c r="J17" s="8">
        <f>SUM(I17*1)</f>
        <v>4</v>
      </c>
      <c r="K17" s="8"/>
      <c r="L17" s="10"/>
      <c r="M17" s="6">
        <v>23</v>
      </c>
      <c r="N17" s="7">
        <f t="shared" ref="N17:N21" si="9">SUM(M17/25)</f>
        <v>0.92</v>
      </c>
      <c r="O17" s="8" t="str">
        <f t="shared" si="4"/>
        <v>A+</v>
      </c>
      <c r="P17" s="9">
        <f t="shared" si="5"/>
        <v>4</v>
      </c>
      <c r="Q17" s="8">
        <f>SUM(P17*1)</f>
        <v>4</v>
      </c>
      <c r="R17" s="8"/>
    </row>
    <row r="18" spans="6:18" ht="17.5" x14ac:dyDescent="0.35">
      <c r="F18" s="6">
        <v>24</v>
      </c>
      <c r="G18" s="7">
        <f t="shared" si="8"/>
        <v>0.96</v>
      </c>
      <c r="H18" s="8" t="str">
        <f t="shared" si="1"/>
        <v>A+</v>
      </c>
      <c r="I18" s="9">
        <f t="shared" si="2"/>
        <v>4</v>
      </c>
      <c r="J18" s="8">
        <f>SUM(I18*1.25)</f>
        <v>5</v>
      </c>
      <c r="K18" s="8"/>
      <c r="L18" s="10"/>
      <c r="M18" s="6">
        <v>23</v>
      </c>
      <c r="N18" s="7">
        <f t="shared" si="9"/>
        <v>0.92</v>
      </c>
      <c r="O18" s="8" t="str">
        <f t="shared" si="4"/>
        <v>A+</v>
      </c>
      <c r="P18" s="9">
        <f t="shared" si="5"/>
        <v>4</v>
      </c>
      <c r="Q18" s="8">
        <f>SUM(P18*1.25)</f>
        <v>5</v>
      </c>
      <c r="R18" s="8"/>
    </row>
    <row r="19" spans="6:18" ht="17.5" x14ac:dyDescent="0.35">
      <c r="F19" s="6">
        <v>24</v>
      </c>
      <c r="G19" s="7">
        <f t="shared" si="8"/>
        <v>0.96</v>
      </c>
      <c r="H19" s="8" t="str">
        <f t="shared" si="1"/>
        <v>A+</v>
      </c>
      <c r="I19" s="9">
        <f t="shared" si="2"/>
        <v>4</v>
      </c>
      <c r="J19" s="8">
        <f t="shared" ref="J19:J21" si="10">SUM(I19*1.25)</f>
        <v>5</v>
      </c>
      <c r="K19" s="8"/>
      <c r="L19" s="10"/>
      <c r="M19" s="6">
        <v>23</v>
      </c>
      <c r="N19" s="7">
        <f t="shared" si="9"/>
        <v>0.92</v>
      </c>
      <c r="O19" s="8" t="str">
        <f t="shared" si="4"/>
        <v>A+</v>
      </c>
      <c r="P19" s="9">
        <f t="shared" si="5"/>
        <v>4</v>
      </c>
      <c r="Q19" s="8">
        <f t="shared" ref="Q19:Q21" si="11">SUM(P19*1.25)</f>
        <v>5</v>
      </c>
      <c r="R19" s="8"/>
    </row>
    <row r="20" spans="6:18" ht="17.5" x14ac:dyDescent="0.35">
      <c r="F20" s="6">
        <v>24</v>
      </c>
      <c r="G20" s="7">
        <f t="shared" si="8"/>
        <v>0.96</v>
      </c>
      <c r="H20" s="8" t="str">
        <f t="shared" si="1"/>
        <v>A+</v>
      </c>
      <c r="I20" s="9">
        <f t="shared" si="2"/>
        <v>4</v>
      </c>
      <c r="J20" s="8">
        <f t="shared" si="10"/>
        <v>5</v>
      </c>
      <c r="K20" s="8"/>
      <c r="L20" s="10"/>
      <c r="M20" s="6">
        <v>23</v>
      </c>
      <c r="N20" s="7">
        <f t="shared" si="9"/>
        <v>0.92</v>
      </c>
      <c r="O20" s="8" t="str">
        <f t="shared" si="4"/>
        <v>A+</v>
      </c>
      <c r="P20" s="9">
        <f t="shared" si="5"/>
        <v>4</v>
      </c>
      <c r="Q20" s="8">
        <f t="shared" si="11"/>
        <v>5</v>
      </c>
      <c r="R20" s="8"/>
    </row>
    <row r="21" spans="6:18" ht="17.5" x14ac:dyDescent="0.35">
      <c r="F21" s="6">
        <v>24</v>
      </c>
      <c r="G21" s="7">
        <f t="shared" si="8"/>
        <v>0.96</v>
      </c>
      <c r="H21" s="8" t="str">
        <f t="shared" si="1"/>
        <v>A+</v>
      </c>
      <c r="I21" s="9">
        <f t="shared" si="2"/>
        <v>4</v>
      </c>
      <c r="J21" s="8">
        <f t="shared" si="10"/>
        <v>5</v>
      </c>
      <c r="K21" s="8"/>
      <c r="L21" s="10"/>
      <c r="M21" s="6">
        <v>23</v>
      </c>
      <c r="N21" s="7">
        <f t="shared" si="9"/>
        <v>0.92</v>
      </c>
      <c r="O21" s="8" t="str">
        <f t="shared" si="4"/>
        <v>A+</v>
      </c>
      <c r="P21" s="9">
        <f t="shared" si="5"/>
        <v>4</v>
      </c>
      <c r="Q21" s="8">
        <f t="shared" si="11"/>
        <v>5</v>
      </c>
      <c r="R21" s="8"/>
    </row>
    <row r="22" spans="6:18" x14ac:dyDescent="0.35">
      <c r="F22" s="8"/>
      <c r="G22" s="8"/>
      <c r="H22" s="8"/>
      <c r="I22" s="8"/>
      <c r="J22" s="11">
        <f>SUM(J10:J21)</f>
        <v>70.8</v>
      </c>
      <c r="K22" s="7">
        <f>SUM(J22/27)</f>
        <v>2.6222222222222222</v>
      </c>
      <c r="L22" s="10"/>
      <c r="M22" s="8"/>
      <c r="N22" s="8"/>
      <c r="O22" s="8"/>
      <c r="P22" s="8"/>
      <c r="Q22" s="11">
        <f>SUM(Q10:Q21)</f>
        <v>71.7</v>
      </c>
      <c r="R22" s="7">
        <f>SUM(Q22/27)</f>
        <v>2.6555555555555554</v>
      </c>
    </row>
  </sheetData>
  <conditionalFormatting sqref="F2:F3 H2:H3 F12 M12 F14 M14">
    <cfRule type="cellIs" dxfId="3" priority="7" operator="lessThan">
      <formula>27</formula>
    </cfRule>
    <cfRule type="cellIs" dxfId="2" priority="8" operator="lessThan">
      <formula>27</formula>
    </cfRule>
  </conditionalFormatting>
  <conditionalFormatting sqref="D2:I3 F10:F15 M10:M15">
    <cfRule type="cellIs" dxfId="1" priority="6" operator="lessThan">
      <formula>27</formula>
    </cfRule>
  </conditionalFormatting>
  <conditionalFormatting sqref="E2:E3 I2:O3 G2:G3 F11 M11 F15:F21 M15:M21 F13 M13">
    <cfRule type="cellIs" dxfId="0" priority="5" operator="lessThan">
      <formula>10</formula>
    </cfRule>
  </conditionalFormatting>
  <dataValidations count="2">
    <dataValidation type="whole" operator="lessThanOrEqual" allowBlank="1" showInputMessage="1" showErrorMessage="1" errorTitle="Sorry!" error="Invalid Value" sqref="J2:O3 M16:M21 F16:F21" xr:uid="{4E068F77-8F88-4119-9A1D-8AA19BF10814}">
      <formula1>25</formula1>
    </dataValidation>
    <dataValidation type="whole" operator="lessThanOrEqual" allowBlank="1" showInputMessage="1" showErrorMessage="1" errorTitle="Sorry!" error="Indvalid value" sqref="D2:I3 M10:M15 F10:F15" xr:uid="{F3FD283A-11B7-4940-8E7C-33CCCCB179A0}">
      <formula1>75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</dc:creator>
  <cp:lastModifiedBy>hsc</cp:lastModifiedBy>
  <dcterms:created xsi:type="dcterms:W3CDTF">2026-08-16T16:05:02Z</dcterms:created>
  <dcterms:modified xsi:type="dcterms:W3CDTF">2026-08-16T16:55:45Z</dcterms:modified>
</cp:coreProperties>
</file>